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d548a03bd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sting costs" sheetId="1" r:id="R24fb078ca6b94ea3"/>
    <x:sheet xmlns:r="http://schemas.openxmlformats.org/officeDocument/2006/relationships" name="Scaling" sheetId="2" r:id="Rc79d20a519de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%"/>
    <x:numFmt numFmtId="202" formatCode="#,##0"/>
    <x:numFmt numFmtId="203" formatCode="#,##0.00"/>
  </x:numFmts>
  <x:fonts count="4">
    <x:font>
      <x:sz val="11"/>
      <x:name val="Carlito"/>
    </x:font>
    <x:font>
      <x:b/>
      <x:sz val="15"/>
      <x:color rgb="FF285D49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5D49"/>
      </x:patternFill>
    </x:fill>
    <x:fill>
      <x:patternFill patternType="solid">
        <x:fgColor rgb="FFF1F4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2" fillId="3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a0728bd1342a4" /><Relationship Type="http://schemas.openxmlformats.org/officeDocument/2006/relationships/theme" Target="/xl/theme/theme1.xml" Id="Rfc25a40325f64c05" /><Relationship Type="http://schemas.openxmlformats.org/officeDocument/2006/relationships/sharedStrings" Target="/xl/sharedStrings.xml" Id="Rc64a2a7c22814089" /><Relationship Type="http://schemas.openxmlformats.org/officeDocument/2006/relationships/worksheet" Target="/xl/worksheets/sheet1.xml" Id="R24fb078ca6b94ea3" /><Relationship Type="http://schemas.openxmlformats.org/officeDocument/2006/relationships/worksheet" Target="/xl/worksheets/sheet2.xml" Id="Rc79d20a519de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44" hidden="0" customWidth="1"/>
    <x:col min="4" max="4" width="24" hidden="0" customWidth="1"/>
    <x:col min="5" max="5" width="13" hidden="0" customWidth="1"/>
    <x:col min="6" max="6" width="16" hidden="0" customWidth="1"/>
    <x:col min="7" max="7" width="17" hidden="0" customWidth="1"/>
    <x:col min="8" max="8" width="20" hidden="0" customWidth="1"/>
    <x:col min="9" max="9" width="35" hidden="0" customWidth="1"/>
    <x:col min="10" max="10" width="65" hidden="0" customWidth="1"/>
    <x:col min="11" max="11" width="17" hidden="0" customWidth="1"/>
  </x:cols>
  <x:sheetData>
    <x:row r="2">
      <x:c r="A2" s="1" t="str">
        <x:v>Monthly hosting comparison (USD; tax and labor excluded)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4" ht="32" customHeight="1">
      <x:c r="A4" s="6" t="str">
        <x:v>Option</x:v>
      </x:c>
      <x:c r="B4" s="6" t="str">
        <x:v>Cost category</x:v>
      </x:c>
      <x:c r="C4" s="6" t="str">
        <x:v>Service and specification</x:v>
      </x:c>
      <x:c r="D4" s="6" t="str">
        <x:v>Region</x:v>
      </x:c>
      <x:c r="E4" s="6" t="str">
        <x:v>Quantity</x:v>
      </x:c>
      <x:c r="F4" s="6" t="str">
        <x:v>Unit price USD</x:v>
      </x:c>
      <x:c r="G4" s="6" t="str">
        <x:v>Monthly USD</x:v>
      </x:c>
      <x:c r="H4" s="6" t="str">
        <x:v>Unit</x:v>
      </x:c>
      <x:c r="I4" s="6" t="str">
        <x:v>Price basis / usage</x:v>
      </x:c>
      <x:c r="J4" s="6" t="str">
        <x:v>Source URL</x:v>
      </x:c>
      <x:c r="K4" s="6" t="str">
        <x:v>Access date</x:v>
      </x:c>
    </x:row>
    <x:row r="5" ht="58" customHeight="1">
      <x:c r="A5" s="7" t="str">
        <x:v>A: Hostinger</x:v>
      </x:c>
      <x:c r="B5" s="7" t="str">
        <x:v>Compute</x:v>
      </x:c>
      <x:c r="C5" s="7" t="str">
        <x:v>KVM 1 renewal; 1 vCPU, 4 GB</x:v>
      </x:c>
      <x:c r="D5" s="7" t="str">
        <x:v>US (assumed)</x:v>
      </x:c>
      <x:c r="E5" s="7" t="n">
        <x:v>1</x:v>
      </x:c>
      <x:c r="F5" s="8" t="n">
        <x:v>11.99</x:v>
      </x:c>
      <x:c r="G5" s="8" t="n">
        <x:f>E5*F5</x:f>
        <x:v>11.99</x:v>
      </x:c>
      <x:c r="H5" s="7" t="str">
        <x:v>instance/month</x:v>
      </x:c>
      <x:c r="I5" s="7" t="str">
        <x:v>Verified public price</x:v>
      </x:c>
      <x:c r="J5" s="7" t="str">
        <x:v>https://www.hostinger.com/vps-hosting</x:v>
      </x:c>
      <x:c r="K5" s="7" t="str">
        <x:v>2026-10-25</x:v>
      </x:c>
    </x:row>
    <x:row r="6" ht="58" customHeight="1">
      <x:c r="A6" s="4" t="str">
        <x:v>A: Hostinger</x:v>
      </x:c>
      <x:c r="B6" s="4" t="str">
        <x:v>Database</x:v>
      </x:c>
      <x:c r="C6" s="4" t="str">
        <x:v>Supabase Pro; one Micro instance</x:v>
      </x:c>
      <x:c r="D6" s="4" t="str">
        <x:v>US East (assumed)</x:v>
      </x:c>
      <x:c r="E6" s="4" t="n">
        <x:v>1</x:v>
      </x:c>
      <x:c r="F6" s="9" t="n">
        <x:v>25</x:v>
      </x:c>
      <x:c r="G6" s="9" t="n">
        <x:f>E6*F6</x:f>
        <x:v>25</x:v>
      </x:c>
      <x:c r="H6" s="4" t="str">
        <x:v>project/month</x:v>
      </x:c>
      <x:c r="I6" s="4" t="str">
        <x:v>Verified; includes compute credit</x:v>
      </x:c>
      <x:c r="J6" s="4" t="str">
        <x:v>https://supabase.com/pricing</x:v>
      </x:c>
      <x:c r="K6" s="4" t="str">
        <x:v>2026-10-25</x:v>
      </x:c>
    </x:row>
    <x:row r="7" ht="58" customHeight="1">
      <x:c r="A7" s="7" t="str">
        <x:v>A: Hostinger</x:v>
      </x:c>
      <x:c r="B7" s="7" t="str">
        <x:v>Storage</x:v>
      </x:c>
      <x:c r="C7" s="7" t="str">
        <x:v>50 GB NVMe included</x:v>
      </x:c>
      <x:c r="D7" s="7" t="str">
        <x:v>US (assumed)</x:v>
      </x:c>
      <x:c r="E7" s="7" t="n">
        <x:v>1</x:v>
      </x:c>
      <x:c r="F7" s="8" t="n">
        <x:v>0</x:v>
      </x:c>
      <x:c r="G7" s="8" t="n">
        <x:f>E7*F7</x:f>
        <x:v>0</x:v>
      </x:c>
      <x:c r="H7" s="7" t="str">
        <x:v>included</x:v>
      </x:c>
      <x:c r="I7" s="7" t="str">
        <x:v>Included in compute</x:v>
      </x:c>
      <x:c r="J7" s="7" t="str">
        <x:v>https://www.hostinger.com/vps-hosting</x:v>
      </x:c>
      <x:c r="K7" s="7" t="str">
        <x:v>2026-10-25</x:v>
      </x:c>
    </x:row>
    <x:row r="8" ht="58" customHeight="1">
      <x:c r="A8" s="4" t="str">
        <x:v>A: Hostinger</x:v>
      </x:c>
      <x:c r="B8" s="4" t="str">
        <x:v>Backups</x:v>
      </x:c>
      <x:c r="C8" s="4" t="str">
        <x:v>Weekly VPS + daily DB included</x:v>
      </x:c>
      <x:c r="D8" s="4" t="str">
        <x:v>US (assumed)</x:v>
      </x:c>
      <x:c r="E8" s="4" t="n">
        <x:v>1</x:v>
      </x:c>
      <x:c r="F8" s="9" t="n">
        <x:v>0</x:v>
      </x:c>
      <x:c r="G8" s="9" t="n">
        <x:f>E8*F8</x:f>
        <x:v>0</x:v>
      </x:c>
      <x:c r="H8" s="4" t="str">
        <x:v>included</x:v>
      </x:c>
      <x:c r="I8" s="4" t="str">
        <x:v>Verified inclusion</x:v>
      </x:c>
      <x:c r="J8" s="4" t="str">
        <x:v>https://www.hostinger.com/vps-hosting</x:v>
      </x:c>
      <x:c r="K8" s="4" t="str">
        <x:v>2026-10-25</x:v>
      </x:c>
    </x:row>
    <x:row r="9" ht="58" customHeight="1">
      <x:c r="A9" s="7" t="str">
        <x:v>A: Hostinger</x:v>
      </x:c>
      <x:c r="B9" s="7" t="str">
        <x:v>Bandwidth</x:v>
      </x:c>
      <x:c r="C9" s="7" t="str">
        <x:v>Within 4 TB app / 250 GB DB allowances</x:v>
      </x:c>
      <x:c r="D9" s="7" t="str">
        <x:v>US (assumed)</x:v>
      </x:c>
      <x:c r="E9" s="7" t="n">
        <x:v>1</x:v>
      </x:c>
      <x:c r="F9" s="8" t="n">
        <x:v>0</x:v>
      </x:c>
      <x:c r="G9" s="8" t="n">
        <x:f>E9*F9</x:f>
        <x:v>0</x:v>
      </x:c>
      <x:c r="H9" s="7" t="str">
        <x:v>included</x:v>
      </x:c>
      <x:c r="I9" s="7" t="str">
        <x:v>Assumed no overage</x:v>
      </x:c>
      <x:c r="J9" s="7" t="str">
        <x:v>https://www.hostinger.com/vps-hosting; https://supabase.com/pricing</x:v>
      </x:c>
      <x:c r="K9" s="7" t="str">
        <x:v>2026-10-25</x:v>
      </x:c>
    </x:row>
    <x:row r="10" ht="58" customHeight="1">
      <x:c r="A10" s="4" t="str">
        <x:v>A: Hostinger</x:v>
      </x:c>
      <x:c r="B10" s="4" t="str">
        <x:v>Monitoring</x:v>
      </x:c>
      <x:c r="C10" s="4" t="str">
        <x:v>Basic metrics / local logs</x:v>
      </x:c>
      <x:c r="D10" s="4" t="str">
        <x:v>US (assumed)</x:v>
      </x:c>
      <x:c r="E10" s="4" t="n">
        <x:v>1</x:v>
      </x:c>
      <x:c r="F10" s="9" t="n">
        <x:v>0</x:v>
      </x:c>
      <x:c r="G10" s="9" t="n">
        <x:f>E10*F10</x:f>
        <x:v>0</x:v>
      </x:c>
      <x:c r="H10" s="4" t="str">
        <x:v>month</x:v>
      </x:c>
      <x:c r="I10" s="4" t="str">
        <x:v>Assumption: no paid monitoring</x:v>
      </x:c>
      <x:c r="J10" s="4" t="str">
        <x:v>Not purchased</x:v>
      </x:c>
      <x:c r="K10" s="4" t="str">
        <x:v>2026-10-25</x:v>
      </x:c>
    </x:row>
    <x:row r="11" ht="58" customHeight="1">
      <x:c r="A11" s="7" t="str">
        <x:v>A: Hostinger</x:v>
      </x:c>
      <x:c r="B11" s="7" t="str">
        <x:v>Domain</x:v>
      </x:c>
      <x:c r="C11" s="7" t="str">
        <x:v>Annual domain allowance amortized</x:v>
      </x:c>
      <x:c r="D11" s="7" t="str">
        <x:v>Global</x:v>
      </x:c>
      <x:c r="E11" s="7" t="n">
        <x:v>1</x:v>
      </x:c>
      <x:c r="F11" s="8" t="n">
        <x:v>1.25</x:v>
      </x:c>
      <x:c r="G11" s="8" t="n">
        <x:f>E11*F11</x:f>
        <x:v>1.25</x:v>
      </x:c>
      <x:c r="H11" s="7" t="str">
        <x:v>month</x:v>
      </x:c>
      <x:c r="I11" s="7" t="str">
        <x:v>Assumption: USD 15/year</x:v>
      </x:c>
      <x:c r="J11" s="7" t="str">
        <x:v>Budget assumption, not vendor quote</x:v>
      </x:c>
      <x:c r="K11" s="7" t="str">
        <x:v>2026-10-25</x:v>
      </x:c>
    </x:row>
    <x:row r="12" ht="58" customHeight="1">
      <x:c r="A12" s="4" t="str">
        <x:v>A: Hostinger</x:v>
      </x:c>
      <x:c r="B12" s="4" t="str">
        <x:v>Third-party services</x:v>
      </x:c>
      <x:c r="C12" s="4" t="str">
        <x:v>GitHub / diagrams / submission free tiers</x:v>
      </x:c>
      <x:c r="D12" s="4" t="str">
        <x:v>Global</x:v>
      </x:c>
      <x:c r="E12" s="4" t="n">
        <x:v>1</x:v>
      </x:c>
      <x:c r="F12" s="9" t="n">
        <x:v>0</x:v>
      </x:c>
      <x:c r="G12" s="9" t="n">
        <x:f>E12*F12</x:f>
        <x:v>0</x:v>
      </x:c>
      <x:c r="H12" s="4" t="str">
        <x:v>month</x:v>
      </x:c>
      <x:c r="I12" s="4" t="str">
        <x:v>Assumption: free tier adequate</x:v>
      </x:c>
      <x:c r="J12" s="4" t="str">
        <x:v>No paid subscription assumed</x:v>
      </x:c>
      <x:c r="K12" s="4" t="str">
        <x:v>2026-10-25</x:v>
      </x:c>
    </x:row>
    <x:row r="13" ht="58" customHeight="1">
      <x:c r="A13" s="7" t="str">
        <x:v>A: Hostinger</x:v>
      </x:c>
      <x:c r="B13" s="7" t="str">
        <x:v>Background workers</x:v>
      </x:c>
      <x:c r="C13" s="7" t="str">
        <x:v>None in MVP</x:v>
      </x:c>
      <x:c r="D13" s="7" t="str">
        <x:v>US (assumed)</x:v>
      </x:c>
      <x:c r="E13" s="7" t="n">
        <x:v>0</x:v>
      </x:c>
      <x:c r="F13" s="8" t="n">
        <x:v>0</x:v>
      </x:c>
      <x:c r="G13" s="8" t="n">
        <x:f>E13*F13</x:f>
        <x:v>0</x:v>
      </x:c>
      <x:c r="H13" s="7" t="str">
        <x:v>month</x:v>
      </x:c>
      <x:c r="I13" s="7" t="str">
        <x:v>Not implemented</x:v>
      </x:c>
      <x:c r="J13" s="7" t="str">
        <x:v>Project scope</x:v>
      </x:c>
      <x:c r="K13" s="7" t="str">
        <x:v>2026-10-25</x:v>
      </x:c>
    </x:row>
    <x:row r="14" ht="58" customHeight="1">
      <x:c r="A14" s="4" t="str">
        <x:v>B: AWS</x:v>
      </x:c>
      <x:c r="B14" s="4" t="str">
        <x:v>Compute</x:v>
      </x:c>
      <x:c r="C14" s="4" t="str">
        <x:v>Lightsail Linux IPv4; 2 vCPU, 4 GB</x:v>
      </x:c>
      <x:c r="D14" s="4" t="str">
        <x:v>US (assumed)</x:v>
      </x:c>
      <x:c r="E14" s="4" t="n">
        <x:v>1</x:v>
      </x:c>
      <x:c r="F14" s="9" t="n">
        <x:v>24</x:v>
      </x:c>
      <x:c r="G14" s="9" t="n">
        <x:f>E14*F14</x:f>
        <x:v>24</x:v>
      </x:c>
      <x:c r="H14" s="4" t="str">
        <x:v>instance/month</x:v>
      </x:c>
      <x:c r="I14" s="4" t="str">
        <x:v>Verified public price</x:v>
      </x:c>
      <x:c r="J14" s="4" t="str">
        <x:v>https://aws.amazon.com/lightsail/pricing/</x:v>
      </x:c>
      <x:c r="K14" s="4" t="str">
        <x:v>2026-10-25</x:v>
      </x:c>
    </x:row>
    <x:row r="15" ht="58" customHeight="1">
      <x:c r="A15" s="7" t="str">
        <x:v>B: AWS</x:v>
      </x:c>
      <x:c r="B15" s="7" t="str">
        <x:v>Database</x:v>
      </x:c>
      <x:c r="C15" s="7" t="str">
        <x:v>Supabase Pro; one Micro instance</x:v>
      </x:c>
      <x:c r="D15" s="7" t="str">
        <x:v>US East (assumed)</x:v>
      </x:c>
      <x:c r="E15" s="7" t="n">
        <x:v>1</x:v>
      </x:c>
      <x:c r="F15" s="8" t="n">
        <x:v>25</x:v>
      </x:c>
      <x:c r="G15" s="8" t="n">
        <x:f>E15*F15</x:f>
        <x:v>25</x:v>
      </x:c>
      <x:c r="H15" s="7" t="str">
        <x:v>project/month</x:v>
      </x:c>
      <x:c r="I15" s="7" t="str">
        <x:v>Verified; includes compute credit</x:v>
      </x:c>
      <x:c r="J15" s="7" t="str">
        <x:v>https://supabase.com/pricing</x:v>
      </x:c>
      <x:c r="K15" s="7" t="str">
        <x:v>2026-10-25</x:v>
      </x:c>
    </x:row>
    <x:row r="16" ht="58" customHeight="1">
      <x:c r="A16" s="4" t="str">
        <x:v>B: AWS</x:v>
      </x:c>
      <x:c r="B16" s="4" t="str">
        <x:v>Storage</x:v>
      </x:c>
      <x:c r="C16" s="4" t="str">
        <x:v>80 GB SSD included</x:v>
      </x:c>
      <x:c r="D16" s="4" t="str">
        <x:v>US (assumed)</x:v>
      </x:c>
      <x:c r="E16" s="4" t="n">
        <x:v>1</x:v>
      </x:c>
      <x:c r="F16" s="9" t="n">
        <x:v>0</x:v>
      </x:c>
      <x:c r="G16" s="9" t="n">
        <x:f>E16*F16</x:f>
        <x:v>0</x:v>
      </x:c>
      <x:c r="H16" s="4" t="str">
        <x:v>included</x:v>
      </x:c>
      <x:c r="I16" s="4" t="str">
        <x:v>Included in compute</x:v>
      </x:c>
      <x:c r="J16" s="4" t="str">
        <x:v>https://aws.amazon.com/lightsail/pricing/</x:v>
      </x:c>
      <x:c r="K16" s="4" t="str">
        <x:v>2026-10-25</x:v>
      </x:c>
    </x:row>
    <x:row r="17" ht="58" customHeight="1">
      <x:c r="A17" s="7" t="str">
        <x:v>B: AWS</x:v>
      </x:c>
      <x:c r="B17" s="7" t="str">
        <x:v>Backups</x:v>
      </x:c>
      <x:c r="C17" s="7" t="str">
        <x:v>20 GB Lightsail snapshots; DB backup included</x:v>
      </x:c>
      <x:c r="D17" s="7" t="str">
        <x:v>US (assumed)</x:v>
      </x:c>
      <x:c r="E17" s="7" t="n">
        <x:v>20</x:v>
      </x:c>
      <x:c r="F17" s="8" t="n">
        <x:v>0.05</x:v>
      </x:c>
      <x:c r="G17" s="8" t="n">
        <x:f>E17*F17</x:f>
        <x:v>1</x:v>
      </x:c>
      <x:c r="H17" s="7" t="str">
        <x:v>GB/month</x:v>
      </x:c>
      <x:c r="I17" s="7" t="str">
        <x:v>Verified unit; assumed volume</x:v>
      </x:c>
      <x:c r="J17" s="7" t="str">
        <x:v>https://aws.amazon.com/lightsail/pricing/</x:v>
      </x:c>
      <x:c r="K17" s="7" t="str">
        <x:v>2026-10-25</x:v>
      </x:c>
    </x:row>
    <x:row r="18" ht="58" customHeight="1">
      <x:c r="A18" s="4" t="str">
        <x:v>B: AWS</x:v>
      </x:c>
      <x:c r="B18" s="4" t="str">
        <x:v>Bandwidth</x:v>
      </x:c>
      <x:c r="C18" s="4" t="str">
        <x:v>Within 4 TB app / 250 GB DB allowances</x:v>
      </x:c>
      <x:c r="D18" s="4" t="str">
        <x:v>US (assumed)</x:v>
      </x:c>
      <x:c r="E18" s="4" t="n">
        <x:v>1</x:v>
      </x:c>
      <x:c r="F18" s="9" t="n">
        <x:v>0</x:v>
      </x:c>
      <x:c r="G18" s="9" t="n">
        <x:f>E18*F18</x:f>
        <x:v>0</x:v>
      </x:c>
      <x:c r="H18" s="4" t="str">
        <x:v>included</x:v>
      </x:c>
      <x:c r="I18" s="4" t="str">
        <x:v>Assumed no overage</x:v>
      </x:c>
      <x:c r="J18" s="4" t="str">
        <x:v>https://aws.amazon.com/lightsail/pricing/; https://supabase.com/pricing</x:v>
      </x:c>
      <x:c r="K18" s="4" t="str">
        <x:v>2026-10-25</x:v>
      </x:c>
    </x:row>
    <x:row r="19" ht="58" customHeight="1">
      <x:c r="A19" s="7" t="str">
        <x:v>B: AWS</x:v>
      </x:c>
      <x:c r="B19" s="7" t="str">
        <x:v>Monitoring</x:v>
      </x:c>
      <x:c r="C19" s="7" t="str">
        <x:v>Basic metrics / local logs</x:v>
      </x:c>
      <x:c r="D19" s="7" t="str">
        <x:v>US (assumed)</x:v>
      </x:c>
      <x:c r="E19" s="7" t="n">
        <x:v>1</x:v>
      </x:c>
      <x:c r="F19" s="8" t="n">
        <x:v>0</x:v>
      </x:c>
      <x:c r="G19" s="8" t="n">
        <x:f>E19*F19</x:f>
        <x:v>0</x:v>
      </x:c>
      <x:c r="H19" s="7" t="str">
        <x:v>month</x:v>
      </x:c>
      <x:c r="I19" s="7" t="str">
        <x:v>Assumption: no paid monitoring</x:v>
      </x:c>
      <x:c r="J19" s="7" t="str">
        <x:v>Not purchased</x:v>
      </x:c>
      <x:c r="K19" s="7" t="str">
        <x:v>2026-10-25</x:v>
      </x:c>
    </x:row>
    <x:row r="20" ht="58" customHeight="1">
      <x:c r="A20" s="4" t="str">
        <x:v>B: AWS</x:v>
      </x:c>
      <x:c r="B20" s="4" t="str">
        <x:v>Domain</x:v>
      </x:c>
      <x:c r="C20" s="4" t="str">
        <x:v>Annual domain allowance amortized</x:v>
      </x:c>
      <x:c r="D20" s="4" t="str">
        <x:v>Global</x:v>
      </x:c>
      <x:c r="E20" s="4" t="n">
        <x:v>1</x:v>
      </x:c>
      <x:c r="F20" s="9" t="n">
        <x:v>1.25</x:v>
      </x:c>
      <x:c r="G20" s="9" t="n">
        <x:f>E20*F20</x:f>
        <x:v>1.25</x:v>
      </x:c>
      <x:c r="H20" s="4" t="str">
        <x:v>month</x:v>
      </x:c>
      <x:c r="I20" s="4" t="str">
        <x:v>Assumption: USD 15/year</x:v>
      </x:c>
      <x:c r="J20" s="4" t="str">
        <x:v>Budget assumption, not vendor quote</x:v>
      </x:c>
      <x:c r="K20" s="4" t="str">
        <x:v>2026-10-25</x:v>
      </x:c>
    </x:row>
    <x:row r="21" ht="58" customHeight="1">
      <x:c r="A21" s="7" t="str">
        <x:v>B: AWS</x:v>
      </x:c>
      <x:c r="B21" s="7" t="str">
        <x:v>Third-party services</x:v>
      </x:c>
      <x:c r="C21" s="7" t="str">
        <x:v>GitHub / diagrams / submission free tiers</x:v>
      </x:c>
      <x:c r="D21" s="7" t="str">
        <x:v>Global</x:v>
      </x:c>
      <x:c r="E21" s="7" t="n">
        <x:v>1</x:v>
      </x:c>
      <x:c r="F21" s="8" t="n">
        <x:v>0</x:v>
      </x:c>
      <x:c r="G21" s="8" t="n">
        <x:f>E21*F21</x:f>
        <x:v>0</x:v>
      </x:c>
      <x:c r="H21" s="7" t="str">
        <x:v>month</x:v>
      </x:c>
      <x:c r="I21" s="7" t="str">
        <x:v>Assumption: free tier adequate</x:v>
      </x:c>
      <x:c r="J21" s="7" t="str">
        <x:v>No paid subscription assumed</x:v>
      </x:c>
      <x:c r="K21" s="7" t="str">
        <x:v>2026-10-25</x:v>
      </x:c>
    </x:row>
    <x:row r="22" ht="58" customHeight="1">
      <x:c r="A22" s="4" t="str">
        <x:v>B: AWS</x:v>
      </x:c>
      <x:c r="B22" s="4" t="str">
        <x:v>Background workers</x:v>
      </x:c>
      <x:c r="C22" s="4" t="str">
        <x:v>None in MVP</x:v>
      </x:c>
      <x:c r="D22" s="4" t="str">
        <x:v>US (assumed)</x:v>
      </x:c>
      <x:c r="E22" s="4" t="n">
        <x:v>0</x:v>
      </x:c>
      <x:c r="F22" s="9" t="n">
        <x:v>0</x:v>
      </x:c>
      <x:c r="G22" s="9" t="n">
        <x:f>E22*F22</x:f>
        <x:v>0</x:v>
      </x:c>
      <x:c r="H22" s="4" t="str">
        <x:v>month</x:v>
      </x:c>
      <x:c r="I22" s="4" t="str">
        <x:v>Not implemented</x:v>
      </x:c>
      <x:c r="J22" s="4" t="str">
        <x:v>Project scope</x:v>
      </x:c>
      <x:c r="K22" s="4" t="str">
        <x:v>2026-10-25</x:v>
      </x:c>
    </x:row>
    <x:row r="25">
      <x:c r="A25" t="str">
        <x:v>Hostinger monthly total</x:v>
      </x:c>
      <x:c r="B25" s="10" t="n">
        <x:f>SUM(G5:G13)</x:f>
        <x:v>38.24</x:v>
      </x:c>
    </x:row>
    <x:row r="26">
      <x:c r="A26" t="str">
        <x:v>AWS monthly total</x:v>
      </x:c>
      <x:c r="B26" s="10" t="n">
        <x:f>SUM(G14:G22)</x:f>
        <x:v>51.25</x:v>
      </x:c>
    </x:row>
    <x:row r="28">
      <x:c r="A28" t="str">
        <x:v>Hostinger promo $6.49/mo differs from renewal used here; commitment and regional checkout must be confirmed.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23" hidden="0" customWidth="1"/>
    <x:col min="7" max="7" width="24" hidden="0" customWidth="1"/>
    <x:col min="8" max="8" width="23" hidden="0" customWidth="1"/>
    <x:col min="9" max="9" width="15" hidden="0" customWidth="1"/>
    <x:col min="10" max="10" width="50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  <x:col min="15" max="15" width="22" hidden="0" customWidth="1"/>
    <x:col min="16" max="16" width="22" hidden="0" customWidth="1"/>
    <x:col min="17" max="17" width="22" hidden="0" customWidth="1"/>
    <x:col min="18" max="18" width="52" hidden="0" customWidth="1"/>
  </x:cols>
  <x:sheetData>
    <x:row r="2">
      <x:c r="A2" s="1" t="str">
        <x:v>Capacity scenarios — planning assumptions, not load-tested guarantees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4" ht="32" customHeight="1">
      <x:c r="A4" s="6" t="str">
        <x:v>Registered users</x:v>
      </x:c>
      <x:c r="B4" s="6" t="str">
        <x:v>Daily active %</x:v>
      </x:c>
      <x:c r="C4" s="6" t="str">
        <x:v>Requests / active / day</x:v>
      </x:c>
      <x:c r="D4" s="6" t="str">
        <x:v>Days / month</x:v>
      </x:c>
      <x:c r="E4" s="6" t="str">
        <x:v>KB / response</x:v>
      </x:c>
      <x:c r="F4" s="6" t="str">
        <x:v>Requests / month</x:v>
      </x:c>
      <x:c r="G4" s="6" t="str">
        <x:v>Traffic GB / month</x:v>
      </x:c>
      <x:c r="H4" s="6" t="str">
        <x:v>Peak req / sec (10x)</x:v>
      </x:c>
      <x:c r="I4" s="6" t="str">
        <x:v>DB GB</x:v>
      </x:c>
      <x:c r="J4" s="6" t="str">
        <x:v>Proposed architecture</x:v>
      </x:c>
      <x:c r="K4" s="6" t="str">
        <x:v>App instances</x:v>
      </x:c>
      <x:c r="L4" s="6" t="str">
        <x:v>VPS unit USD</x:v>
      </x:c>
      <x:c r="M4" s="6" t="str">
        <x:v>AWS unit USD</x:v>
      </x:c>
      <x:c r="N4" s="6" t="str">
        <x:v>DB budget USD</x:v>
      </x:c>
      <x:c r="O4" s="6" t="str">
        <x:v>Other budget USD</x:v>
      </x:c>
      <x:c r="P4" s="6" t="str">
        <x:v>VPS monthly USD</x:v>
      </x:c>
      <x:c r="Q4" s="6" t="str">
        <x:v>AWS monthly USD</x:v>
      </x:c>
      <x:c r="R4" s="6" t="str">
        <x:v>Bottleneck / changes</x:v>
      </x:c>
    </x:row>
    <x:row r="5" ht="58" customHeight="1">
      <x:c r="A5" s="7" t="n">
        <x:v>100</x:v>
      </x:c>
      <x:c r="B5" s="11" t="n">
        <x:v>0.2</x:v>
      </x:c>
      <x:c r="C5" s="7" t="n">
        <x:v>20</x:v>
      </x:c>
      <x:c r="D5" s="7" t="n">
        <x:v>30</x:v>
      </x:c>
      <x:c r="E5" s="7" t="n">
        <x:v>100</x:v>
      </x:c>
      <x:c r="F5" s="13" t="n">
        <x:f>A5*B5*C5*D5</x:f>
        <x:v>12000</x:v>
      </x:c>
      <x:c r="G5" s="15" t="n">
        <x:f>F5*E5/1000000</x:f>
        <x:v>1.2</x:v>
      </x:c>
      <x:c r="H5" s="15" t="n">
        <x:f>F5/(D5*86400)*10</x:f>
        <x:v>0.046296296296296294</x:v>
      </x:c>
      <x:c r="I5" s="7" t="n">
        <x:v>1</x:v>
      </x:c>
      <x:c r="J5" s="7" t="str">
        <x:v>Single app; Supabase Micro</x:v>
      </x:c>
      <x:c r="K5" s="7" t="n">
        <x:v>1</x:v>
      </x:c>
      <x:c r="L5" s="8" t="n">
        <x:v>11.99</x:v>
      </x:c>
      <x:c r="M5" s="8" t="n">
        <x:v>24</x:v>
      </x:c>
      <x:c r="N5" s="8" t="n">
        <x:v>25</x:v>
      </x:c>
      <x:c r="O5" s="8" t="n">
        <x:v>0</x:v>
      </x:c>
      <x:c r="P5" s="8" t="n">
        <x:f>K5*L5+N5+O5+1.25</x:f>
        <x:v>38.24</x:v>
      </x:c>
      <x:c r="Q5" s="8" t="n">
        <x:f>K5*M5+N5+O5+1.25</x:f>
        <x:v>50.25</x:v>
      </x:c>
      <x:c r="R5" s="7" t="str">
        <x:v>Operational setup; no HA</x:v>
      </x:c>
    </x:row>
    <x:row r="6" ht="58" customHeight="1">
      <x:c r="A6" s="4" t="n">
        <x:v>1000</x:v>
      </x:c>
      <x:c r="B6" s="12" t="n">
        <x:v>0.2</x:v>
      </x:c>
      <x:c r="C6" s="4" t="n">
        <x:v>20</x:v>
      </x:c>
      <x:c r="D6" s="4" t="n">
        <x:v>30</x:v>
      </x:c>
      <x:c r="E6" s="4" t="n">
        <x:v>100</x:v>
      </x:c>
      <x:c r="F6" s="14" t="n">
        <x:f>A6*B6*C6*D6</x:f>
        <x:v>120000</x:v>
      </x:c>
      <x:c r="G6" s="16" t="n">
        <x:f>F6*E6/1000000</x:f>
        <x:v>12</x:v>
      </x:c>
      <x:c r="H6" s="16" t="n">
        <x:f>F6/(D6*86400)*10</x:f>
        <x:v>0.4629629629629629</x:v>
      </x:c>
      <x:c r="I6" s="4" t="n">
        <x:v>2</x:v>
      </x:c>
      <x:c r="J6" s="4" t="str">
        <x:v>Indexes; pooling; tune queries</x:v>
      </x:c>
      <x:c r="K6" s="4" t="n">
        <x:v>1</x:v>
      </x:c>
      <x:c r="L6" s="9" t="n">
        <x:v>14.99</x:v>
      </x:c>
      <x:c r="M6" s="9" t="n">
        <x:v>24</x:v>
      </x:c>
      <x:c r="N6" s="9" t="n">
        <x:v>25</x:v>
      </x:c>
      <x:c r="O6" s="9" t="n">
        <x:v>5</x:v>
      </x:c>
      <x:c r="P6" s="9" t="n">
        <x:f>K6*L6+N6+O6+1.25</x:f>
        <x:v>46.24</x:v>
      </x:c>
      <x:c r="Q6" s="9" t="n">
        <x:f>K6*M6+N6+O6+1.25</x:f>
        <x:v>55.25</x:v>
      </x:c>
      <x:c r="R6" s="4" t="str">
        <x:v>Connections; sequential substring search</x:v>
      </x:c>
    </x:row>
    <x:row r="7" ht="58" customHeight="1">
      <x:c r="A7" s="7" t="n">
        <x:v>10000</x:v>
      </x:c>
      <x:c r="B7" s="11" t="n">
        <x:v>0.2</x:v>
      </x:c>
      <x:c r="C7" s="7" t="n">
        <x:v>20</x:v>
      </x:c>
      <x:c r="D7" s="7" t="n">
        <x:v>30</x:v>
      </x:c>
      <x:c r="E7" s="7" t="n">
        <x:v>100</x:v>
      </x:c>
      <x:c r="F7" s="13" t="n">
        <x:f>A7*B7*C7*D7</x:f>
        <x:v>1200000</x:v>
      </x:c>
      <x:c r="G7" s="15" t="n">
        <x:f>F7*E7/1000000</x:f>
        <x:v>120</x:v>
      </x:c>
      <x:c r="H7" s="15" t="n">
        <x:f>F7/(D7*86400)*10</x:f>
        <x:v>4.62962962962963</x:v>
      </x:c>
      <x:c r="I7" s="7" t="n">
        <x:v>10</x:v>
      </x:c>
      <x:c r="J7" s="7" t="str">
        <x:v>Two app instances; cache; monitoring</x:v>
      </x:c>
      <x:c r="K7" s="7" t="n">
        <x:v>2</x:v>
      </x:c>
      <x:c r="L7" s="8" t="n">
        <x:v>28.99</x:v>
      </x:c>
      <x:c r="M7" s="8" t="n">
        <x:v>44</x:v>
      </x:c>
      <x:c r="N7" s="8" t="n">
        <x:v>75</x:v>
      </x:c>
      <x:c r="O7" s="8" t="n">
        <x:v>55</x:v>
      </x:c>
      <x:c r="P7" s="8" t="n">
        <x:f>K7*L7+N7+O7+1.25</x:f>
        <x:v>189.23</x:v>
      </x:c>
      <x:c r="Q7" s="8" t="n">
        <x:f>K7*M7+N7+O7+1.25</x:f>
        <x:v>219.25</x:v>
      </x:c>
      <x:c r="R7" s="7" t="str">
        <x:v>DB reads; load balancer; cache invalidation</x:v>
      </x:c>
    </x:row>
    <x:row r="8" ht="58" customHeight="1">
      <x:c r="A8" s="4" t="n">
        <x:v>1000000</x:v>
      </x:c>
      <x:c r="B8" s="12" t="n">
        <x:v>0.2</x:v>
      </x:c>
      <x:c r="C8" s="4" t="n">
        <x:v>20</x:v>
      </x:c>
      <x:c r="D8" s="4" t="n">
        <x:v>30</x:v>
      </x:c>
      <x:c r="E8" s="4" t="n">
        <x:v>100</x:v>
      </x:c>
      <x:c r="F8" s="14" t="n">
        <x:f>A8*B8*C8*D8</x:f>
        <x:v>120000000</x:v>
      </x:c>
      <x:c r="G8" s="16" t="n">
        <x:f>F8*E8/1000000</x:f>
        <x:v>12000</x:v>
      </x:c>
      <x:c r="H8" s="16" t="n">
        <x:f>F8/(D8*86400)*10</x:f>
        <x:v>462.962962962963</x:v>
      </x:c>
      <x:c r="I8" s="4" t="n">
        <x:v>250</x:v>
      </x:c>
      <x:c r="J8" s="4" t="str">
        <x:v>8 app instances; LB/CDN; DB replicas; queues</x:v>
      </x:c>
      <x:c r="K8" s="4" t="n">
        <x:v>8</x:v>
      </x:c>
      <x:c r="L8" s="9" t="n">
        <x:v>49.99</x:v>
      </x:c>
      <x:c r="M8" s="9" t="n">
        <x:v>164</x:v>
      </x:c>
      <x:c r="N8" s="9" t="n">
        <x:v>2000</x:v>
      </x:c>
      <x:c r="O8" s="9" t="n">
        <x:v>1200</x:v>
      </x:c>
      <x:c r="P8" s="9" t="n">
        <x:f>K8*L8+N8+O8+1.25</x:f>
        <x:v>3601.17</x:v>
      </x:c>
      <x:c r="Q8" s="9" t="n">
        <x:f>K8*M8+N8+O8+1.25</x:f>
        <x:v>4513.25</x:v>
      </x:c>
      <x:c r="R8" s="4" t="str">
        <x:v>Write throughput, DB HA, cache, egress</x:v>
      </x:c>
    </x:row>
    <x:row r="11">
      <x:c r="A11" t="str">
        <x:v>All scaling rates and budgets are assumptions. 10x peak factor; decimal GB; no user-uploaded media.</x:v>
      </x:c>
    </x:row>
    <x:row r="13">
      <x:c r="A13" t="str">
        <x:v>100-user DB: 1 GB; 1,000: 2 GB; 10,000: 10 GB; 1,000,000: 250 GB incl. indexes and history. Validate retention and growth.</x:v>
      </x:c>
    </x:row>
    <x:row r="15">
      <x:c r="A15" t="str">
        <x:v>Other budgets: monitoring, snapshots, load balancing, CDN/cache and workers at larger scales. Large-scale DB budget includes replicas and backup allowance.</x:v>
      </x:c>
    </x:row>
    <x:row r="17">
      <x:c r="A17" t="str">
        <x:v>US region is assumed for both app and DB. Pricing sources are on Hosting costs; larger-scale budgets require vendor quotes and a load test.</x:v>
      </x:c>
    </x:row>
    <x:row r="19">
      <x:c r="A19" t="str">
        <x:v>Django authentication does not use Supabase Auth MAU pricing. Database-to-app traffic differs from browser traffic; measure it before estimating egress.</x:v>
      </x:c>
    </x:row>
  </x:sheetData>
  <x:pageMargins left="0.7" right="0.7" top="0.75" bottom="0.75" header="0.3" footer="0.3"/>
</x:worksheet>
</file>